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1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<sst xmlns="http://schemas.openxmlformats.org/spreadsheetml/2006/main" count="2" uniqueCount="2">
  <si>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ticket_id | created_at | closed_at | outlet_id | cms_id</t>
  </si>
  <si>
    <t>cms_id | feedback_at | feedback_rating | ticket_created_at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</si>
</sst>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2" sqref="G2"/>
    </sheetView>
  </sheetViews>
  <sheetFormatPr defaultColWidth="8.72727272727273" defaultRowHeight="14.5" outlineLevelRow="1" outlineLevelCol="4"/>
  <sheetData>
    <row r="1" spans="1:1">
      <c r="A1" t="s">
        <v>0</v>
      </c>
    </row>
    <row r="2" spans="1:5">
      <c r="A2" s="1">
        <f ca="1">VLOOKUP(A2,ticket!B:E,2,FALSE)</f>
        <v>0</v>
      </c>
      <c r="B2" s="1">
        <f ca="1">VLOOKUP(A2,ticket!B:E,2,FALSE)</f>
        <v>0</v>
      </c>
      <c r="C2">
        <f ca="1">VLOOKUP(A2,ticket!E:B,2,FALSE)</f>
        <v>0</v>
      </c>
      <c r="D2" s="1">
        <f ca="1">VLOOKUP(A2,ticket!B:E,2,FALSE)</f>
        <v>0</v>
      </c>
      <c r="E2" s="1">
        <f ca="1">VLOOKUP(A2,ticket!B:E,2,FALSE)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8.72727272727273" defaultRowHeight="14.5" outlineLevelRow="3" outlineLevelCol="4"/>
  <sheetData>
    <row r="1" spans="1:4">
      <c r="A1" t="s">
        <v>1</v>
      </c>
      <c r="D1" s="1"/>
    </row>
    <row r="2" spans="1:5">
      <c r="A2">
        <f ca="1">VLOOKUP(A2,ticket!$E:$B,2,FALSE)</f>
        <v>0</v>
      </c>
      <c r="B2" s="1">
        <f ca="1">VLOOKUP(A2,ticket!B:E,2,FALSE)</f>
        <v>0</v>
      </c>
      <c r="C2" s="1">
        <f ca="1">VLOOKUP(A2,ticket!B:E,2,FALSE)</f>
        <v>0</v>
      </c>
      <c r="D2">
        <f ca="1">VLOOKUP(A2,ticket!$E:$B,2,FALSE)</f>
        <v>0</v>
      </c>
      <c r="E2">
        <f ca="1">VLOOKUP(A2,ticket!$E:$B,2,FALSE)</f>
        <v>0</v>
      </c>
    </row>
    <row r="3" spans="1:5">
      <c r="A3" s="1" cm="1">
        <f ca="1" t="array" ref="A3">IFERROR(INDEX(ticket!$B:$B,MATCH($A2,ticket!$E:$E,0)),"")</f>
        <v>0</v>
      </c>
      <c r="B3" s="1" cm="1">
        <f ca="1" t="array" ref="B3">IFERROR(INDEX(ticket!$B:$B,MATCH($A2,ticket!$E:$E,0)),"")</f>
        <v>0</v>
      </c>
      <c r="C3" s="1" cm="1">
        <f ca="1" t="array" ref="C3">IFERROR(INDEX(ticket!$B:$B,MATCH($A2,ticket!$E:$E,0)),"")</f>
        <v>0</v>
      </c>
      <c r="D3" cm="1">
        <f ca="1" t="array" ref="D3">IFERROR(INDEX(ticket!$B:$B,MATCH($A2,ticket!$E:$E,0)),"")</f>
        <v>0</v>
      </c>
      <c r="E3" s="1" cm="1">
        <f ca="1" t="array" ref="E3">INDEX(ticket!$B:$B,MATCH($A2,ticket!$E:$E,0))</f>
        <v>0</v>
      </c>
    </row>
    <row r="4" spans="5:5">
      <c r="E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Nagur Reddy</cp:lastModifiedBy>
  <dcterms:created xsi:type="dcterms:W3CDTF">2025-12-03T04:06:42Z</dcterms:created>
  <dcterms:modified xsi:type="dcterms:W3CDTF">2025-12-03T04:21:30Z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F23682CF515143F3822D536D817C8695_11</vt:lpwstr>
  </property>
  <property fmtid="{D5CDD505-2E9C-101B-9397-08002B2CF9AE}" pid="3" name="KSOProductBuildVer">
    <vt:lpwstr>1033-12.2.0.23155</vt:lpwstr>
  </property>
</Properties>
</file>